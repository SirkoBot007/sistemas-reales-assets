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64748B"/>
      <sz val="11"/>
    </font>
    <font>
      <name val="Calibri"/>
      <b val="1"/>
      <color rgb="00FFFFFF"/>
      <sz val="13"/>
    </font>
    <font>
      <name val="Calibri"/>
      <color rgb="00CBD5E1"/>
      <sz val="11"/>
    </font>
    <font>
      <name val="Calibri"/>
      <color rgb="00F59E0B"/>
      <sz val="11"/>
    </font>
    <font>
      <name val="Calibri"/>
      <color rgb="0064748B"/>
      <sz val="10"/>
    </font>
    <font>
      <name val="Calibri"/>
      <b val="1"/>
      <color rgb="00FFFFFF"/>
      <sz val="12"/>
    </font>
    <font>
      <name val="Calibri"/>
      <b val="1"/>
      <color rgb="0010B981"/>
      <sz val="14"/>
    </font>
    <font>
      <name val="Calibri"/>
      <b val="1"/>
      <color rgb="00FFFFFF"/>
      <sz val="14"/>
    </font>
    <font>
      <name val="Calibri"/>
      <b val="1"/>
      <color rgb="00CBD5E1"/>
      <sz val="11"/>
    </font>
    <font>
      <name val="Calibri"/>
      <b val="1"/>
      <color rgb="00F43F5E"/>
      <sz val="14"/>
    </font>
    <font>
      <name val="Calibri"/>
      <b val="1"/>
      <color rgb="00F59E0B"/>
      <sz val="14"/>
    </font>
    <font>
      <name val="Calibri"/>
      <b val="1"/>
      <color rgb="006366F1"/>
      <sz val="14"/>
    </font>
  </fonts>
  <fills count="8">
    <fill>
      <patternFill/>
    </fill>
    <fill>
      <patternFill patternType="gray125"/>
    </fill>
    <fill>
      <patternFill patternType="solid">
        <fgColor rgb="00020817"/>
      </patternFill>
    </fill>
    <fill>
      <patternFill patternType="solid">
        <fgColor rgb="006366F1"/>
      </patternFill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right" vertical="center"/>
    </xf>
    <xf numFmtId="0" fontId="6" fillId="4" borderId="0" pivotButton="0" quotePrefix="0" xfId="0"/>
    <xf numFmtId="0" fontId="10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right" vertical="center"/>
    </xf>
    <xf numFmtId="0" fontId="6" fillId="5" borderId="0" pivotButton="0" quotePrefix="0" xfId="0"/>
    <xf numFmtId="0" fontId="12" fillId="4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right" vertical="center"/>
    </xf>
    <xf numFmtId="0" fontId="12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 ht="40" customHeight="1">
      <c r="A1" s="1" t="inlineStr">
        <is>
          <t>CALCULADORA DE TARIFAS FREELANCE</t>
        </is>
      </c>
    </row>
    <row r="2" ht="22" customHeight="1">
      <c r="A2" s="2" t="inlineStr">
        <is>
          <t>Descubre tu tarifa hora minima, recomendada y premium</t>
        </is>
      </c>
    </row>
    <row r="4">
      <c r="A4" s="3" t="inlineStr">
        <is>
          <t>GASTOS MENSUALES</t>
        </is>
      </c>
    </row>
    <row r="5" ht="20" customHeight="1">
      <c r="A5" s="4" t="inlineStr">
        <is>
          <t>Alquiler / hipoteca</t>
        </is>
      </c>
      <c r="B5" s="5" t="n">
        <v>800</v>
      </c>
      <c r="C5" s="6" t="inlineStr">
        <is>
          <t>EUR/mes</t>
        </is>
      </c>
    </row>
    <row r="6" ht="20" customHeight="1">
      <c r="A6" s="7" t="inlineStr">
        <is>
          <t>Alimentacion</t>
        </is>
      </c>
      <c r="B6" s="8" t="n">
        <v>300</v>
      </c>
      <c r="C6" s="9" t="inlineStr">
        <is>
          <t>EUR/mes</t>
        </is>
      </c>
    </row>
    <row r="7" ht="20" customHeight="1">
      <c r="A7" s="4" t="inlineStr">
        <is>
          <t>Transporte</t>
        </is>
      </c>
      <c r="B7" s="5" t="n">
        <v>150</v>
      </c>
      <c r="C7" s="6" t="inlineStr">
        <is>
          <t>EUR/mes</t>
        </is>
      </c>
    </row>
    <row r="8" ht="20" customHeight="1">
      <c r="A8" s="7" t="inlineStr">
        <is>
          <t>Telefono + internet</t>
        </is>
      </c>
      <c r="B8" s="8" t="n">
        <v>50</v>
      </c>
      <c r="C8" s="9" t="inlineStr">
        <is>
          <t>EUR/mes</t>
        </is>
      </c>
    </row>
    <row r="9" ht="20" customHeight="1">
      <c r="A9" s="4" t="inlineStr">
        <is>
          <t>Suscripciones herramientas</t>
        </is>
      </c>
      <c r="B9" s="5" t="n">
        <v>100</v>
      </c>
      <c r="C9" s="6" t="inlineStr">
        <is>
          <t>EUR/mes</t>
        </is>
      </c>
    </row>
    <row r="10" ht="20" customHeight="1">
      <c r="A10" s="7" t="inlineStr">
        <is>
          <t>Seguros (salud, colegio...)</t>
        </is>
      </c>
      <c r="B10" s="8" t="n">
        <v>150</v>
      </c>
      <c r="C10" s="9" t="inlineStr">
        <is>
          <t>EUR/mes</t>
        </is>
      </c>
    </row>
    <row r="11" ht="20" customHeight="1">
      <c r="A11" s="4" t="inlineStr">
        <is>
          <t>Ocio y personal</t>
        </is>
      </c>
      <c r="B11" s="5" t="n">
        <v>200</v>
      </c>
      <c r="C11" s="6" t="inlineStr">
        <is>
          <t>EUR/mes</t>
        </is>
      </c>
    </row>
    <row r="12" ht="20" customHeight="1">
      <c r="A12" s="7" t="inlineStr">
        <is>
          <t>Impuestos estimados (30%)</t>
        </is>
      </c>
      <c r="B12" s="8">
        <f>SUM(B5:B11)*0.30</f>
        <v/>
      </c>
      <c r="C12" s="9" t="inlineStr">
        <is>
          <t>EUR/mes</t>
        </is>
      </c>
    </row>
    <row r="13" ht="20" customHeight="1">
      <c r="A13" s="4" t="inlineStr">
        <is>
          <t>Fondo de emergencia (10%)</t>
        </is>
      </c>
      <c r="B13" s="5">
        <f>SUM(B5:B11)*0.10</f>
        <v/>
      </c>
      <c r="C13" s="6" t="inlineStr">
        <is>
          <t>EUR/mes</t>
        </is>
      </c>
    </row>
    <row r="14" ht="20" customHeight="1">
      <c r="A14" s="7" t="inlineStr">
        <is>
          <t>Inversion / ahorro (10%)</t>
        </is>
      </c>
      <c r="B14" s="8">
        <f>SUM(B5:B11)*0.10</f>
        <v/>
      </c>
      <c r="C14" s="9" t="inlineStr">
        <is>
          <t>EUR/mes</t>
        </is>
      </c>
    </row>
    <row r="15" ht="20" customHeight="1">
      <c r="A15" s="4" t="inlineStr">
        <is>
          <t>Otros gastos</t>
        </is>
      </c>
      <c r="B15" s="5" t="n">
        <v>100</v>
      </c>
      <c r="C15" s="6" t="inlineStr">
        <is>
          <t>EUR/mes</t>
        </is>
      </c>
    </row>
    <row r="16" ht="24" customHeight="1">
      <c r="A16" s="10" t="inlineStr">
        <is>
          <t>TOTAL GASTOS MENSUALES</t>
        </is>
      </c>
      <c r="B16" s="11">
        <f>SUM(B5:B15)</f>
        <v/>
      </c>
    </row>
    <row r="18">
      <c r="A18" s="3" t="inlineStr">
        <is>
          <t>PARAMETROS DE TRABAJO</t>
        </is>
      </c>
    </row>
    <row r="19" ht="20" customHeight="1">
      <c r="A19" s="4" t="inlineStr">
        <is>
          <t>Dias laborables por mes</t>
        </is>
      </c>
      <c r="B19" s="5" t="n">
        <v>20</v>
      </c>
      <c r="C19" s="6" t="inlineStr">
        <is>
          <t>dias/horas</t>
        </is>
      </c>
    </row>
    <row r="20" ht="20" customHeight="1">
      <c r="A20" s="7" t="inlineStr">
        <is>
          <t>Horas por dia trabajadas</t>
        </is>
      </c>
      <c r="B20" s="8" t="n">
        <v>8</v>
      </c>
      <c r="C20" s="9" t="inlineStr">
        <is>
          <t>dias/horas</t>
        </is>
      </c>
    </row>
    <row r="21" ht="20" customHeight="1">
      <c r="A21" s="4" t="inlineStr">
        <is>
          <t>% horas facturables vs admin</t>
        </is>
      </c>
      <c r="B21" s="5" t="n">
        <v>70</v>
      </c>
      <c r="C21" s="6" t="inlineStr">
        <is>
          <t>%</t>
        </is>
      </c>
    </row>
    <row r="22" ht="20" customHeight="1">
      <c r="A22" s="7" t="inlineStr">
        <is>
          <t>Margen de beneficio objetivo</t>
        </is>
      </c>
      <c r="B22" s="8" t="n">
        <v>30</v>
      </c>
      <c r="C22" s="9" t="inlineStr">
        <is>
          <t>dias/horas</t>
        </is>
      </c>
    </row>
    <row r="24" ht="28" customHeight="1">
      <c r="A24" s="12" t="inlineStr">
        <is>
          <t>RESULTADOS</t>
        </is>
      </c>
    </row>
    <row r="25" ht="26" customHeight="1">
      <c r="A25" s="13" t="inlineStr">
        <is>
          <t>Horas facturables / mes</t>
        </is>
      </c>
      <c r="C25" s="14">
        <f>B19*B20*(B21/100)</f>
        <v/>
      </c>
      <c r="D25" s="15" t="inlineStr">
        <is>
          <t>EUR / hora</t>
        </is>
      </c>
    </row>
    <row r="26" ht="26" customHeight="1">
      <c r="A26" s="16" t="inlineStr">
        <is>
          <t>Tarifa hora MINIMA (break-even)</t>
        </is>
      </c>
      <c r="C26" s="17">
        <f>B16/C25</f>
        <v/>
      </c>
      <c r="D26" s="18" t="inlineStr">
        <is>
          <t>EUR / hora</t>
        </is>
      </c>
    </row>
    <row r="27" ht="26" customHeight="1">
      <c r="A27" s="13" t="inlineStr">
        <is>
          <t>Tarifa hora RECOMENDADA (+margen)</t>
        </is>
      </c>
      <c r="C27" s="19">
        <f>C26*(1+B22/100)</f>
        <v/>
      </c>
      <c r="D27" s="15" t="inlineStr">
        <is>
          <t>EUR / hora</t>
        </is>
      </c>
    </row>
    <row r="28" ht="26" customHeight="1">
      <c r="A28" s="16" t="inlineStr">
        <is>
          <t>Tarifa hora PREMIUM (x2 valor)</t>
        </is>
      </c>
      <c r="C28" s="20">
        <f>C26*2</f>
        <v/>
      </c>
      <c r="D28" s="18" t="inlineStr">
        <is>
          <t>EUR / hora</t>
        </is>
      </c>
    </row>
    <row r="29" ht="26" customHeight="1">
      <c r="A29" s="13" t="inlineStr">
        <is>
          <t>Ingresos minimos mes (break-even)</t>
        </is>
      </c>
      <c r="C29" s="14">
        <f>C26*C25</f>
        <v/>
      </c>
      <c r="D29" s="15" t="inlineStr">
        <is>
          <t>EUR / hora</t>
        </is>
      </c>
    </row>
    <row r="30" ht="26" customHeight="1">
      <c r="A30" s="16" t="inlineStr">
        <is>
          <t>Ingresos objetivo mes (+margen)</t>
        </is>
      </c>
      <c r="C30" s="21">
        <f>C27*C25</f>
        <v/>
      </c>
      <c r="D30" s="18" t="inlineStr">
        <is>
          <t>EUR / hora</t>
        </is>
      </c>
    </row>
  </sheetData>
  <mergeCells count="5">
    <mergeCell ref="A1:D1"/>
    <mergeCell ref="A18:D18"/>
    <mergeCell ref="A4:D4"/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2026-06-19T14:21:58Z</dcterms:created>
  <dcterms:modified xsi:type="dcterms:W3CDTF">2026-06-19T14:21:58Z</dcterms:modified>
</cp:coreProperties>
</file>